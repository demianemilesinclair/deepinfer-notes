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Cost model" sheetId="2" r:id="rId2"/>
  </sheets>
  <calcPr calcId="124519" fullCalcOnLoad="1"/>
</workbook>
</file>

<file path=xl/sharedStrings.xml><?xml version="1.0" encoding="utf-8"?>
<sst xmlns="http://schemas.openxmlformats.org/spreadsheetml/2006/main" count="76" uniqueCount="73">
  <si>
    <t>DeepInfer 128-GPU cost model - assumptions</t>
  </si>
  <si>
    <t>Yellow cells are editable; every other sheet recomputes. Numbers are public data plus the estimates in the write-up.</t>
  </si>
  <si>
    <t>Total GPUs</t>
  </si>
  <si>
    <t>64 prefill + 64 decode: the minimum efficient unit from the official Q&amp;A</t>
  </si>
  <si>
    <t>Prefill GPUs</t>
  </si>
  <si>
    <t>Decode GPUs</t>
  </si>
  <si>
    <t>Rental price (USD / GPU-hour)</t>
  </si>
  <si>
    <t>B200-class spot runs 2-3, on-demand 4-6; replace with your own quote</t>
  </si>
  <si>
    <t>Decode throughput per GPU (tokens/s)</t>
  </si>
  <si>
    <t>Official benchmark: EP64/DP64, 60 concurrent sequences per rank</t>
  </si>
  <si>
    <t>Hours per day</t>
  </si>
  <si>
    <t>Days per month</t>
  </si>
  <si>
    <t>Official revenue benchmark (USD / GPU-hour)</t>
  </si>
  <si>
    <t>Official Q&amp;A: revenue per GPU-hour at off-peak pricing (revenue, not profit)</t>
  </si>
  <si>
    <t>Official cluster volume (tokens / day)</t>
  </si>
  <si>
    <t>155 trillion tokens per day</t>
  </si>
  <si>
    <t>KV cache per GPU (TB, logical)</t>
  </si>
  <si>
    <t>Official: about 14.4 TB per GPU, logical</t>
  </si>
  <si>
    <t>3FS erasure-coding overhead</t>
  </si>
  <si>
    <t>10+2 erasure coding: physical = logical x 1.2</t>
  </si>
  <si>
    <t>Usable capacity per storage server (TB)</t>
  </si>
  <si>
    <t>20 x 30.73 TB SSDs</t>
  </si>
  <si>
    <t>Cost model</t>
  </si>
  <si>
    <t>Change the yellow cells on the Assumptions sheet; this sheet follows.</t>
  </si>
  <si>
    <t>Throughput and cost</t>
  </si>
  <si>
    <t>Metric</t>
  </si>
  <si>
    <t>Value</t>
  </si>
  <si>
    <t>Unit</t>
  </si>
  <si>
    <t>Notes</t>
  </si>
  <si>
    <t>Total throughput (full load)</t>
  </si>
  <si>
    <t>tokens/s</t>
  </si>
  <si>
    <t>GPU count x per-GPU throughput</t>
  </si>
  <si>
    <t>Daily output (full load)</t>
  </si>
  <si>
    <t>tokens/day</t>
  </si>
  <si>
    <t>about 160 billion</t>
  </si>
  <si>
    <t>Cost per million tokens (full load)</t>
  </si>
  <si>
    <t>$/M tokens</t>
  </si>
  <si>
    <t>Rental cost per hour</t>
  </si>
  <si>
    <t>USD/hour</t>
  </si>
  <si>
    <t>Rental cost per day</t>
  </si>
  <si>
    <t>USD/day</t>
  </si>
  <si>
    <t>Rental cost per month</t>
  </si>
  <si>
    <t>USD/month</t>
  </si>
  <si>
    <t>excludes storage, network and staff</t>
  </si>
  <si>
    <t>One-week trial</t>
  </si>
  <si>
    <t>USD</t>
  </si>
  <si>
    <t>the entry ticket for a single validation run</t>
  </si>
  <si>
    <t>Derived from the official revenue benchmark</t>
  </si>
  <si>
    <t>Revenue at full load (128 GPUs)</t>
  </si>
  <si>
    <t>official figure: 38 USD per GPU-hour</t>
  </si>
  <si>
    <t>Implied price</t>
  </si>
  <si>
    <t>blended; no input/output split, excludes storage</t>
  </si>
  <si>
    <t>Break-even utilisation</t>
  </si>
  <si>
    <t>Utilisation sensitivity (cost per million tokens)</t>
  </si>
  <si>
    <t>Utilisation</t>
  </si>
  <si>
    <t>Cost $/M</t>
  </si>
  <si>
    <t>Daily output (tokens)</t>
  </si>
  <si>
    <t>Storage and scale</t>
  </si>
  <si>
    <t>KV cache, logical</t>
  </si>
  <si>
    <t>PB</t>
  </si>
  <si>
    <t>14.4 TB per GPU x GPU count</t>
  </si>
  <si>
    <t>KV cache, physical</t>
  </si>
  <si>
    <t>after 10+2 erasure coding</t>
  </si>
  <si>
    <t>Storage servers</t>
  </si>
  <si>
    <t>servers</t>
  </si>
  <si>
    <t>each with 20 x 30.73 TB</t>
  </si>
  <si>
    <t>Equivalent 128-GPU units</t>
  </si>
  <si>
    <t>units</t>
  </si>
  <si>
    <t>155T/day divided by one unit's daily output; arithmetic only</t>
  </si>
  <si>
    <t>Implied total GPUs</t>
  </si>
  <si>
    <t>GPUs</t>
  </si>
  <si>
    <t>about 120,000; derived, not disclosed</t>
  </si>
  <si>
    <t>Estimates only, for order-of-magnitude reasoning, not procurement. Throughput comes from the official benchmark at 60 concurrent sequences per rank; a real deployment loses some of it to prefill, cache misses and request long tails.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</si>
</sst>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$#,##0.0000"/>
    <numFmt numFmtId="167" formatCode="$#,##0.00"/>
    <numFmt numFmtId="168" formatCode="0.0%"/>
  </numFmts>
  <fonts count="6">
    <font>
      <sz val="11"/>
      <color theme="1"/>
      <name val="Calibri"/>
      <family val="2"/>
      <scheme val="minor"/>
    </font>
    <font>
      <b/>
      <sz val="15"/>
      <color rgb="FF1C1E24"/>
      <name val="Calibri"/>
      <family val="2"/>
      <scheme val="minor"/>
    </font>
    <font>
      <i/>
      <sz val="10"/>
      <color rgb="FF6E7480"/>
      <name val="Calibri"/>
      <family val="2"/>
      <scheme val="minor"/>
    </font>
    <font>
      <sz val="9"/>
      <color rgb="FF6E7480"/>
      <name val="Calibri"/>
      <family val="2"/>
      <scheme val="minor"/>
    </font>
    <font>
      <b/>
      <sz val="12"/>
      <color rgb="FF1D4ED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164" fontId="0" fillId="3" borderId="1" xfId="0" applyNumberFormat="1" applyFill="1" applyBorder="1"/>
    <xf numFmtId="0" fontId="3" fillId="0" borderId="0" xfId="0" applyFont="1" applyAlignment="1">
      <alignment vertical="top" wrapText="1"/>
    </xf>
    <xf numFmtId="165" fontId="0" fillId="3" borderId="1" xfId="0" applyNumberFormat="1" applyFill="1" applyBorder="1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8.7109375" customWidth="1"/>
    <col min="2" max="2" width="18.7109375" customWidth="1"/>
    <col min="3" max="3" width="64.7109375" customWidth="1"/>
  </cols>
  <sheetData>
    <row r="1" spans="1:3">
      <c r="A1" s="1" t="s">
        <v>0</v>
      </c>
    </row>
    <row r="2" spans="1:3">
      <c r="A2" s="2" t="s">
        <v>1</v>
      </c>
    </row>
    <row r="5" spans="1:3">
      <c r="A5" s="3" t="s">
        <v>2</v>
      </c>
      <c r="B5" s="4">
        <v>128</v>
      </c>
      <c r="C5" s="5" t="s">
        <v>3</v>
      </c>
    </row>
    <row r="6" spans="1:3">
      <c r="A6" s="3" t="s">
        <v>4</v>
      </c>
      <c r="B6" s="4">
        <v>64</v>
      </c>
      <c r="C6" s="5"/>
    </row>
    <row r="7" spans="1:3">
      <c r="A7" s="3" t="s">
        <v>5</v>
      </c>
      <c r="B7" s="4">
        <v>64</v>
      </c>
      <c r="C7" s="5"/>
    </row>
    <row r="8" spans="1:3">
      <c r="A8" s="3" t="s">
        <v>6</v>
      </c>
      <c r="B8" s="6">
        <v>2.5</v>
      </c>
      <c r="C8" s="5" t="s">
        <v>7</v>
      </c>
    </row>
    <row r="9" spans="1:3">
      <c r="A9" s="3" t="s">
        <v>8</v>
      </c>
      <c r="B9" s="4">
        <v>14466</v>
      </c>
      <c r="C9" s="5" t="s">
        <v>9</v>
      </c>
    </row>
    <row r="10" spans="1:3">
      <c r="A10" s="3" t="s">
        <v>10</v>
      </c>
      <c r="B10" s="4">
        <v>24</v>
      </c>
      <c r="C10" s="5"/>
    </row>
    <row r="11" spans="1:3">
      <c r="A11" s="3" t="s">
        <v>11</v>
      </c>
      <c r="B11" s="4">
        <v>30</v>
      </c>
      <c r="C11" s="5"/>
    </row>
    <row r="12" spans="1:3">
      <c r="A12" s="3" t="s">
        <v>12</v>
      </c>
      <c r="B12" s="4">
        <v>38</v>
      </c>
      <c r="C12" s="5" t="s">
        <v>13</v>
      </c>
    </row>
    <row r="13" spans="1:3">
      <c r="A13" s="3" t="s">
        <v>14</v>
      </c>
      <c r="B13" s="4">
        <v>155000000000000</v>
      </c>
      <c r="C13" s="5" t="s">
        <v>15</v>
      </c>
    </row>
    <row r="14" spans="1:3">
      <c r="A14" s="3" t="s">
        <v>16</v>
      </c>
      <c r="B14" s="6">
        <v>14.4</v>
      </c>
      <c r="C14" s="5" t="s">
        <v>17</v>
      </c>
    </row>
    <row r="15" spans="1:3">
      <c r="A15" s="3" t="s">
        <v>18</v>
      </c>
      <c r="B15" s="6">
        <v>1.2</v>
      </c>
      <c r="C15" s="5" t="s">
        <v>19</v>
      </c>
    </row>
    <row r="16" spans="1:3">
      <c r="A16" s="3" t="s">
        <v>20</v>
      </c>
      <c r="B16" s="6">
        <v>614.6</v>
      </c>
      <c r="C16" s="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cols>
    <col min="1" max="1" width="36.7109375" customWidth="1"/>
    <col min="2" max="3" width="16.7109375" customWidth="1"/>
    <col min="4" max="4" width="56.7109375" customWidth="1"/>
    <col min="5" max="6" width="16.7109375" customWidth="1"/>
  </cols>
  <sheetData>
    <row r="1" spans="1:4">
      <c r="A1" s="1" t="s">
        <v>22</v>
      </c>
    </row>
    <row r="2" spans="1:4">
      <c r="A2" s="2" t="s">
        <v>23</v>
      </c>
    </row>
    <row r="4" spans="1:4">
      <c r="A4" s="7" t="s">
        <v>24</v>
      </c>
    </row>
    <row r="5" spans="1:4">
      <c r="A5" s="8" t="s">
        <v>25</v>
      </c>
      <c r="B5" s="8" t="s">
        <v>26</v>
      </c>
      <c r="C5" s="8" t="s">
        <v>27</v>
      </c>
      <c r="D5" s="8" t="s">
        <v>28</v>
      </c>
    </row>
    <row r="6" spans="1:4">
      <c r="A6" s="3" t="s">
        <v>29</v>
      </c>
      <c r="B6" s="9">
        <f>Assumptions!$B$5*Assumptions!$B$9</f>
        <v>0</v>
      </c>
      <c r="C6" s="3" t="s">
        <v>30</v>
      </c>
      <c r="D6" s="5" t="s">
        <v>31</v>
      </c>
    </row>
    <row r="7" spans="1:4">
      <c r="A7" s="3" t="s">
        <v>32</v>
      </c>
      <c r="B7" s="9">
        <f>Assumptions!$B$5*Assumptions!$B$9*Assumptions!$B$10*3600</f>
        <v>0</v>
      </c>
      <c r="C7" s="3" t="s">
        <v>33</v>
      </c>
      <c r="D7" s="5" t="s">
        <v>34</v>
      </c>
    </row>
    <row r="8" spans="1:4">
      <c r="A8" s="3" t="s">
        <v>35</v>
      </c>
      <c r="B8" s="10">
        <f>Assumptions!$B$5*Assumptions!$B$8/(Assumptions!$B$5*Assumptions!$B$9*3600/1000000)</f>
        <v>0</v>
      </c>
      <c r="C8" s="3" t="s">
        <v>36</v>
      </c>
      <c r="D8" s="5">
        <f> 128 x price / tokens per hour</f>
        <v>0</v>
      </c>
    </row>
    <row r="9" spans="1:4">
      <c r="A9" s="3" t="s">
        <v>37</v>
      </c>
      <c r="B9" s="11">
        <f>Assumptions!$B$5*Assumptions!$B$8</f>
        <v>0</v>
      </c>
      <c r="C9" s="3" t="s">
        <v>38</v>
      </c>
      <c r="D9" s="5"/>
    </row>
    <row r="10" spans="1:4">
      <c r="A10" s="3" t="s">
        <v>39</v>
      </c>
      <c r="B10" s="11">
        <f>Assumptions!$B$5*Assumptions!$B$8*Assumptions!$B$10</f>
        <v>0</v>
      </c>
      <c r="C10" s="3" t="s">
        <v>40</v>
      </c>
      <c r="D10" s="5"/>
    </row>
    <row r="11" spans="1:4">
      <c r="A11" s="3" t="s">
        <v>41</v>
      </c>
      <c r="B11" s="11">
        <f>Assumptions!$B$5*Assumptions!$B$8*Assumptions!$B$10*Assumptions!$B$11</f>
        <v>0</v>
      </c>
      <c r="C11" s="3" t="s">
        <v>42</v>
      </c>
      <c r="D11" s="5" t="s">
        <v>43</v>
      </c>
    </row>
    <row r="12" spans="1:4">
      <c r="A12" s="3" t="s">
        <v>44</v>
      </c>
      <c r="B12" s="11">
        <f>Assumptions!$B$5*Assumptions!$B$8*Assumptions!$B$10*7</f>
        <v>0</v>
      </c>
      <c r="C12" s="3" t="s">
        <v>45</v>
      </c>
      <c r="D12" s="5" t="s">
        <v>46</v>
      </c>
    </row>
    <row r="14" spans="1:4">
      <c r="A14" s="7" t="s">
        <v>47</v>
      </c>
    </row>
    <row r="15" spans="1:4">
      <c r="A15" s="3" t="s">
        <v>48</v>
      </c>
      <c r="B15" s="11">
        <f>Assumptions!$B$5*Assumptions!$B$12</f>
        <v>0</v>
      </c>
      <c r="C15" s="3" t="s">
        <v>38</v>
      </c>
      <c r="D15" s="5" t="s">
        <v>49</v>
      </c>
    </row>
    <row r="16" spans="1:4">
      <c r="A16" s="3" t="s">
        <v>50</v>
      </c>
      <c r="B16" s="10">
        <f>Assumptions!$B$5*Assumptions!$B$12/(Assumptions!$B$5*Assumptions!$B$9*3600/1000000)</f>
        <v>0</v>
      </c>
      <c r="C16" s="3" t="s">
        <v>36</v>
      </c>
      <c r="D16" s="5" t="s">
        <v>51</v>
      </c>
    </row>
    <row r="17" spans="1:4">
      <c r="A17" s="3" t="s">
        <v>52</v>
      </c>
      <c r="B17" s="12">
        <f>Assumptions!$B$8/Assumptions!$B$12</f>
        <v>0</v>
      </c>
      <c r="C17" s="3"/>
      <c r="D17" s="5">
        <f> rental price / 38; below this you lose money</f>
        <v>0</v>
      </c>
    </row>
    <row r="19" spans="1:4">
      <c r="A19" s="7" t="s">
        <v>53</v>
      </c>
    </row>
    <row r="20" spans="1:4">
      <c r="A20" s="8" t="s">
        <v>54</v>
      </c>
      <c r="B20" s="8" t="s">
        <v>55</v>
      </c>
      <c r="C20" s="8" t="s">
        <v>56</v>
      </c>
    </row>
    <row r="21" spans="1:4">
      <c r="A21" s="12">
        <v>1</v>
      </c>
      <c r="B21" s="10">
        <f>Assumptions!$B$5*Assumptions!$B$8/(Assumptions!$B$5*Assumptions!$B$9*3600*1.0/1000000)</f>
        <v>0</v>
      </c>
      <c r="C21" s="9">
        <f>Assumptions!$B$5*Assumptions!$B$9*Assumptions!$B$10*3600*1.0</f>
        <v>0</v>
      </c>
    </row>
    <row r="22" spans="1:4">
      <c r="A22" s="12">
        <v>0.8</v>
      </c>
      <c r="B22" s="10">
        <f>Assumptions!$B$5*Assumptions!$B$8/(Assumptions!$B$5*Assumptions!$B$9*3600*0.8/1000000)</f>
        <v>0</v>
      </c>
      <c r="C22" s="9">
        <f>Assumptions!$B$5*Assumptions!$B$9*Assumptions!$B$10*3600*0.8</f>
        <v>0</v>
      </c>
    </row>
    <row r="23" spans="1:4">
      <c r="A23" s="12">
        <v>0.6</v>
      </c>
      <c r="B23" s="10">
        <f>Assumptions!$B$5*Assumptions!$B$8/(Assumptions!$B$5*Assumptions!$B$9*3600*0.6/1000000)</f>
        <v>0</v>
      </c>
      <c r="C23" s="9">
        <f>Assumptions!$B$5*Assumptions!$B$9*Assumptions!$B$10*3600*0.6</f>
        <v>0</v>
      </c>
    </row>
    <row r="24" spans="1:4">
      <c r="A24" s="12">
        <v>0.5</v>
      </c>
      <c r="B24" s="10">
        <f>Assumptions!$B$5*Assumptions!$B$8/(Assumptions!$B$5*Assumptions!$B$9*3600*0.5/1000000)</f>
        <v>0</v>
      </c>
      <c r="C24" s="9">
        <f>Assumptions!$B$5*Assumptions!$B$9*Assumptions!$B$10*3600*0.5</f>
        <v>0</v>
      </c>
    </row>
    <row r="25" spans="1:4">
      <c r="A25" s="12">
        <v>0.3</v>
      </c>
      <c r="B25" s="10">
        <f>Assumptions!$B$5*Assumptions!$B$8/(Assumptions!$B$5*Assumptions!$B$9*3600*0.3/1000000)</f>
        <v>0</v>
      </c>
      <c r="C25" s="9">
        <f>Assumptions!$B$5*Assumptions!$B$9*Assumptions!$B$10*3600*0.3</f>
        <v>0</v>
      </c>
    </row>
    <row r="26" spans="1:4">
      <c r="A26" s="12">
        <v>0.2</v>
      </c>
      <c r="B26" s="10">
        <f>Assumptions!$B$5*Assumptions!$B$8/(Assumptions!$B$5*Assumptions!$B$9*3600*0.2/1000000)</f>
        <v>0</v>
      </c>
      <c r="C26" s="9">
        <f>Assumptions!$B$5*Assumptions!$B$9*Assumptions!$B$10*3600*0.2</f>
        <v>0</v>
      </c>
    </row>
    <row r="27" spans="1:4">
      <c r="A27" s="12">
        <v>0.1</v>
      </c>
      <c r="B27" s="10">
        <f>Assumptions!$B$5*Assumptions!$B$8/(Assumptions!$B$5*Assumptions!$B$9*3600*0.1/1000000)</f>
        <v>0</v>
      </c>
      <c r="C27" s="9">
        <f>Assumptions!$B$5*Assumptions!$B$9*Assumptions!$B$10*3600*0.1</f>
        <v>0</v>
      </c>
    </row>
    <row r="28" spans="1:4">
      <c r="A28" s="12">
        <v>0.066</v>
      </c>
      <c r="B28" s="10">
        <f>Assumptions!$B$5*Assumptions!$B$8/(Assumptions!$B$5*Assumptions!$B$9*3600*0.066/1000000)</f>
        <v>0</v>
      </c>
      <c r="C28" s="9">
        <f>Assumptions!$B$5*Assumptions!$B$9*Assumptions!$B$10*3600*0.066</f>
        <v>0</v>
      </c>
    </row>
    <row r="30" spans="1:4">
      <c r="A30" s="7" t="s">
        <v>57</v>
      </c>
    </row>
    <row r="31" spans="1:4">
      <c r="A31" s="3" t="s">
        <v>58</v>
      </c>
      <c r="B31" s="13">
        <f>Assumptions!$B$5*Assumptions!$B$14/1000</f>
        <v>0</v>
      </c>
      <c r="C31" s="3" t="s">
        <v>59</v>
      </c>
      <c r="D31" s="5" t="s">
        <v>60</v>
      </c>
    </row>
    <row r="32" spans="1:4">
      <c r="A32" s="3" t="s">
        <v>61</v>
      </c>
      <c r="B32" s="13">
        <f>Assumptions!$B$5*Assumptions!$B$14/1000*Assumptions!$B$15</f>
        <v>0</v>
      </c>
      <c r="C32" s="3" t="s">
        <v>59</v>
      </c>
      <c r="D32" s="5" t="s">
        <v>62</v>
      </c>
    </row>
    <row r="33" spans="1:4">
      <c r="A33" s="3" t="s">
        <v>63</v>
      </c>
      <c r="B33" s="9">
        <f>ROUNDUP(Assumptions!$B$5*Assumptions!$B$14/1000*Assumptions!$B$15*1000/Assumptions!$B$16,0)</f>
        <v>0</v>
      </c>
      <c r="C33" s="3" t="s">
        <v>64</v>
      </c>
      <c r="D33" s="5" t="s">
        <v>65</v>
      </c>
    </row>
    <row r="34" spans="1:4">
      <c r="A34" s="3" t="s">
        <v>66</v>
      </c>
      <c r="B34" s="13">
        <f>Assumptions!$B$13/(Assumptions!$B$5*Assumptions!$B$9*Assumptions!$B$10*3600)</f>
        <v>0</v>
      </c>
      <c r="C34" s="3" t="s">
        <v>67</v>
      </c>
      <c r="D34" s="5" t="s">
        <v>68</v>
      </c>
    </row>
    <row r="35" spans="1:4">
      <c r="A35" s="3" t="s">
        <v>69</v>
      </c>
      <c r="B35" s="9">
        <f>Assumptions!$B$13/(Assumptions!$B$5*Assumptions!$B$9*Assumptions!$B$10*3600)*Assumptions!$B$5</f>
        <v>0</v>
      </c>
      <c r="C35" s="3" t="s">
        <v>70</v>
      </c>
      <c r="D35" s="5" t="s">
        <v>71</v>
      </c>
    </row>
    <row r="37" spans="1:4">
      <c r="A37" s="5" t="s">
        <v>72</v>
      </c>
      <c r="B37" s="5"/>
      <c r="C37" s="5"/>
      <c r="D37" s="5"/>
    </row>
    <row r="38" spans="1:4">
      <c r="A38" s="5"/>
      <c r="B38" s="5"/>
      <c r="C38" s="5"/>
      <c r="D38" s="5"/>
    </row>
  </sheetData>
  <mergeCells count="1">
    <mergeCell ref="A37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Cost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DeepInfer 128-GPU cost model</dc:title>
  <dc:subject>DeepSeek V4.1 Flash minimum efficient deployment unit</dc:subject>
  <dc:creator>Based on public DeepInfer numbers</dc:creator>
  <dc:description>Estimates only. Edit the yellow cells and everything recomputes.</dc:description>
  <cp:lastModifiedBy>Based on public DeepInfer numbers</cp:lastModifiedBy>
  <dcterms:created xsi:type="dcterms:W3CDTF">2026-10-26T10:43:07Z</dcterms:created>
  <dcterms:modified xsi:type="dcterms:W3CDTF">2026-10-26T10:43:07Z</dcterms:modified>
</cp:coreProperties>
</file>